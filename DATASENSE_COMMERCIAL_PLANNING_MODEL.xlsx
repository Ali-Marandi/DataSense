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Sources" sheetId="5" state="visible" r:id="rId5"/>
  </sheets>
  <definedNames>
    <definedName name="_xlnm.Print_Area" localSheetId="0">'Assumptions'!$B$2:$H$49</definedName>
    <definedName name="_xlnm.Print_Area" localSheetId="1">'Revenue'!$B$2:$H$28</definedName>
    <definedName name="_xlnm.Print_Area" localSheetId="2">'Operating Model'!$B$2:$H$24</definedName>
    <definedName name="_xlnm.Print_Area" localSheetId="3">'KPIs'!$B$2:$H$25</definedName>
    <definedName name="_xlnm.Print_Area" localSheetId="4">'Sources'!$B$2:$H$21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%"/>
    <numFmt numFmtId="165" formatCode="#,##0;(#,##0);-"/>
    <numFmt numFmtId="166" formatCode="$#,##0.0;($#,##0.0);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i val="1"/>
      <color rgb="00000000"/>
      <sz val="10"/>
    </font>
    <font>
      <name val="Arial"/>
      <b val="1"/>
      <color rgb="00000000"/>
    </font>
    <font>
      <name val="Arial"/>
      <color rgb="000000FF"/>
    </font>
    <font>
      <name val="Arial"/>
      <b val="1"/>
    </font>
    <font>
      <name val="Arial"/>
      <color rgb="00000000"/>
    </font>
    <font>
      <name val="Arial"/>
      <color rgb="00008000"/>
    </font>
    <font>
      <name val="Arial"/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  <fill>
      <patternFill patternType="solid">
        <fgColor rgb="00E7E5E4"/>
      </patternFill>
    </fill>
  </fills>
  <borders count="5">
    <border>
      <left/>
      <right/>
      <top/>
      <bottom/>
      <diagonal/>
    </border>
    <border>
      <left style="medium">
        <color rgb="00135B44"/>
      </left>
    </border>
    <border>
      <bottom style="hair">
        <color rgb="00D9D9D9"/>
      </bottom>
    </border>
    <border>
      <top style="thin">
        <color rgb="00A6A6A6"/>
      </top>
    </border>
    <border>
      <top style="medium">
        <color rgb="00135B44"/>
      </top>
      <bottom style="double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0" borderId="2" pivotButton="0" quotePrefix="0" xfId="0"/>
    <xf numFmtId="0" fontId="5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165" fontId="7" fillId="0" borderId="2" applyAlignment="1" pivotButton="0" quotePrefix="0" xfId="0">
      <alignment horizontal="right"/>
    </xf>
    <xf numFmtId="0" fontId="6" fillId="0" borderId="0" pivotButton="0" quotePrefix="0" xfId="0"/>
    <xf numFmtId="0" fontId="6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0" fillId="0" borderId="1" pivotButton="0" quotePrefix="0" xfId="0"/>
    <xf numFmtId="0" fontId="4" fillId="3" borderId="1" pivotButton="0" quotePrefix="0" xfId="0"/>
    <xf numFmtId="165" fontId="8" fillId="0" borderId="1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4" fillId="0" borderId="2" pivotButton="0" quotePrefix="0" xfId="0"/>
    <xf numFmtId="166" fontId="4" fillId="0" borderId="1" applyAlignment="1" pivotButton="0" quotePrefix="0" xfId="0">
      <alignment horizontal="right"/>
    </xf>
    <xf numFmtId="166" fontId="4" fillId="0" borderId="2" applyAlignment="1" pivotButton="0" quotePrefix="0" xfId="0">
      <alignment horizontal="right"/>
    </xf>
    <xf numFmtId="166" fontId="8" fillId="0" borderId="2" applyAlignment="1" pivotButton="0" quotePrefix="0" xfId="0">
      <alignment horizontal="right"/>
    </xf>
    <xf numFmtId="0" fontId="4" fillId="0" borderId="3" pivotButton="0" quotePrefix="0" xfId="0"/>
    <xf numFmtId="166" fontId="4" fillId="0" borderId="3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  <xf numFmtId="166" fontId="9" fillId="0" borderId="2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6" fontId="7" fillId="0" borderId="2" applyAlignment="1" pivotButton="0" quotePrefix="0" xfId="0">
      <alignment horizontal="right"/>
    </xf>
    <xf numFmtId="0" fontId="0" fillId="0" borderId="3" pivotButton="0" quotePrefix="0" xfId="0"/>
    <xf numFmtId="166" fontId="4" fillId="0" borderId="4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0" fontId="4" fillId="0" borderId="0" pivotButton="0" quotePrefix="0" xfId="0"/>
    <xf numFmtId="0" fontId="4" fillId="0" borderId="1" pivotButton="0" quotePrefix="0" xfId="0"/>
    <xf numFmtId="0" fontId="6" fillId="0" borderId="2" pivotButton="0" quotePrefix="0" xfId="0"/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horizontal="left"/>
    </xf>
    <xf numFmtId="0" fontId="0" fillId="0" borderId="2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Manus AI</author>
  </authors>
  <commentList>
    <comment ref="D9" authorId="0" shapeId="0">
      <text>
        <t>Source: Planning model control; scenario selection is not a market forecast.</t>
      </text>
    </comment>
    <comment ref="D14" authorId="0" shapeId="0">
      <text>
        <t>Source: Management planning assumption — validation required.</t>
      </text>
    </comment>
    <comment ref="E14" authorId="0" shapeId="0">
      <text>
        <t>Source: Management planning assumption — validation required.</t>
      </text>
    </comment>
    <comment ref="F14" authorId="0" shapeId="0">
      <text>
        <t>Source: Management planning assumption — validation required.</t>
      </text>
    </comment>
    <comment ref="D15" authorId="0" shapeId="0">
      <text>
        <t>Source: Management planning assumption — validation required.</t>
      </text>
    </comment>
    <comment ref="E15" authorId="0" shapeId="0">
      <text>
        <t>Source: Management planning assumption — validation required.</t>
      </text>
    </comment>
    <comment ref="F15" authorId="0" shapeId="0">
      <text>
        <t>Source: Management planning assumption — validation required.</t>
      </text>
    </comment>
    <comment ref="D16" authorId="0" shapeId="0">
      <text>
        <t>Source: Management planning assumption — validation required.</t>
      </text>
    </comment>
    <comment ref="E16" authorId="0" shapeId="0">
      <text>
        <t>Source: Management planning assumption — validation required.</t>
      </text>
    </comment>
    <comment ref="F16" authorId="0" shapeId="0">
      <text>
        <t>Source: Management planning assumption — validation required.</t>
      </text>
    </comment>
    <comment ref="D17" authorId="0" shapeId="0">
      <text>
        <t>Source: Management planning assumption — validation required.</t>
      </text>
    </comment>
    <comment ref="E17" authorId="0" shapeId="0">
      <text>
        <t>Source: Management planning assumption — validation required.</t>
      </text>
    </comment>
    <comment ref="F17" authorId="0" shapeId="0">
      <text>
        <t>Source: Management planning assumption — validation required.</t>
      </text>
    </comment>
    <comment ref="D18" authorId="0" shapeId="0">
      <text>
        <t>Source: Management planning assumption — validation required.</t>
      </text>
    </comment>
    <comment ref="E18" authorId="0" shapeId="0">
      <text>
        <t>Source: Management planning assumption — validation required.</t>
      </text>
    </comment>
    <comment ref="F18" authorId="0" shapeId="0">
      <text>
        <t>Source: Management planning assumption — validation required.</t>
      </text>
    </comment>
    <comment ref="D19" authorId="0" shapeId="0">
      <text>
        <t>Source: Management planning assumption — validation required.</t>
      </text>
    </comment>
    <comment ref="E19" authorId="0" shapeId="0">
      <text>
        <t>Source: Management planning assumption — validation required.</t>
      </text>
    </comment>
    <comment ref="F19" authorId="0" shapeId="0">
      <text>
        <t>Source: Management planning assumption — validation required.</t>
      </text>
    </comment>
    <comment ref="D20" authorId="0" shapeId="0">
      <text>
        <t>Source: Management planning assumption — validation required.</t>
      </text>
    </comment>
    <comment ref="E20" authorId="0" shapeId="0">
      <text>
        <t>Source: Management planning assumption — validation required.</t>
      </text>
    </comment>
    <comment ref="F20" authorId="0" shapeId="0">
      <text>
        <t>Source: Management planning assumption — validation required.</t>
      </text>
    </comment>
    <comment ref="D21" authorId="0" shapeId="0">
      <text>
        <t>Source: Management planning assumption — validation required.</t>
      </text>
    </comment>
    <comment ref="E21" authorId="0" shapeId="0">
      <text>
        <t>Source: Management planning assumption — validation required.</t>
      </text>
    </comment>
    <comment ref="F21" authorId="0" shapeId="0">
      <text>
        <t>Source: Management planning assumption — validation required.</t>
      </text>
    </comment>
    <comment ref="D22" authorId="0" shapeId="0">
      <text>
        <t>Source: Management planning assumption — validation required.</t>
      </text>
    </comment>
    <comment ref="E22" authorId="0" shapeId="0">
      <text>
        <t>Source: Management planning assumption — validation required.</t>
      </text>
    </comment>
    <comment ref="F22" authorId="0" shapeId="0">
      <text>
        <t>Source: Management planning assumption — validation required.</t>
      </text>
    </comment>
    <comment ref="D23" authorId="0" shapeId="0">
      <text>
        <t>Source: Management planning assumption — validation required.</t>
      </text>
    </comment>
    <comment ref="E23" authorId="0" shapeId="0">
      <text>
        <t>Source: Management planning assumption — validation required.</t>
      </text>
    </comment>
    <comment ref="F23" authorId="0" shapeId="0">
      <text>
        <t>Source: Management planning assumption — validation required.</t>
      </text>
    </comment>
    <comment ref="D27" authorId="0" shapeId="0">
      <text>
        <t>Source: Management planning assumption — validation required.</t>
      </text>
    </comment>
    <comment ref="D28" authorId="0" shapeId="0">
      <text>
        <t>Source: Management planning assumption — validation required.</t>
      </text>
    </comment>
    <comment ref="D29" authorId="0" shapeId="0">
      <text>
        <t>Source: Management planning assumption — validation required.</t>
      </text>
    </comment>
    <comment ref="D30" authorId="0" shapeId="0">
      <text>
        <t>Source: Management planning assumption — validation required.</t>
      </text>
    </comment>
    <comment ref="D31" authorId="0" shapeId="0">
      <text>
        <t>Source: Management planning assumption — validation required.</t>
      </text>
    </comment>
    <comment ref="D32" authorId="0" shapeId="0">
      <text>
        <t>Source: Management planning assumption — validation required.</t>
      </text>
    </comment>
    <comment ref="D33" authorId="0" shapeId="0">
      <text>
        <t>Source: Management planning assumption — validation required.</t>
      </text>
    </comment>
    <comment ref="D34" authorId="0" shapeId="0">
      <text>
        <t>Source: Management planning assumption — validation required.</t>
      </text>
    </comment>
    <comment ref="D35" authorId="0" shapeId="0">
      <text>
        <t>Source: Management planning assumption — validation required.</t>
      </text>
    </comment>
    <comment ref="D36" authorId="0" shapeId="0">
      <text>
        <t>Source: Management planning assumption — validation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/>
    <row r="3">
      <c r="C3" s="1" t="inlineStr">
        <is>
          <t>DataSense Commercial Planning Model</t>
        </is>
      </c>
    </row>
    <row r="4"/>
    <row r="5">
      <c r="C5" s="2" t="inlineStr">
        <is>
          <t>Editable planning model — assumptions require validation</t>
        </is>
      </c>
    </row>
    <row r="6">
      <c r="C6" s="3" t="inlineStr">
        <is>
          <t>USD unless stated otherwise</t>
        </is>
      </c>
    </row>
    <row r="7"/>
    <row r="8">
      <c r="C8" s="4" t="inlineStr">
        <is>
          <t>Scenario Selection</t>
        </is>
      </c>
      <c r="D8" s="5" t="n"/>
      <c r="E8" s="5" t="n"/>
      <c r="F8" s="5" t="n"/>
    </row>
    <row r="9">
      <c r="C9" s="6" t="inlineStr">
        <is>
          <t>Selected scenario</t>
        </is>
      </c>
      <c r="D9" s="7" t="inlineStr">
        <is>
          <t>Base</t>
        </is>
      </c>
    </row>
    <row r="10"/>
    <row r="11"/>
    <row r="12">
      <c r="C12" s="4" t="inlineStr">
        <is>
          <t>Scenario Drivers</t>
        </is>
      </c>
      <c r="D12" s="5" t="n"/>
      <c r="E12" s="5" t="n"/>
      <c r="F12" s="5" t="n"/>
    </row>
    <row r="13">
      <c r="C13" s="6" t="inlineStr">
        <is>
          <t>Driver</t>
        </is>
      </c>
      <c r="D13" s="8" t="inlineStr">
        <is>
          <t>Downside</t>
        </is>
      </c>
      <c r="E13" s="8" t="inlineStr">
        <is>
          <t>Base</t>
        </is>
      </c>
      <c r="F13" s="8" t="inlineStr">
        <is>
          <t>Upside</t>
        </is>
      </c>
    </row>
    <row r="14">
      <c r="C14" s="6" t="inlineStr">
        <is>
          <t>Annual Professional seat growth</t>
        </is>
      </c>
      <c r="D14" s="9" t="n">
        <v>0.4</v>
      </c>
      <c r="E14" s="9" t="n">
        <v>0.8</v>
      </c>
      <c r="F14" s="9" t="n">
        <v>1.3</v>
      </c>
    </row>
    <row r="15">
      <c r="C15" s="6" t="inlineStr">
        <is>
          <t>Annual Professional churn</t>
        </is>
      </c>
      <c r="D15" s="9" t="n">
        <v>0.3</v>
      </c>
      <c r="E15" s="9" t="n">
        <v>0.2</v>
      </c>
      <c r="F15" s="9" t="n">
        <v>0.14</v>
      </c>
    </row>
    <row r="16">
      <c r="C16" s="6" t="inlineStr">
        <is>
          <t>Annual Team-logo growth</t>
        </is>
      </c>
      <c r="D16" s="9" t="n">
        <v>0.2</v>
      </c>
      <c r="E16" s="9" t="n">
        <v>0.6</v>
      </c>
      <c r="F16" s="9" t="n">
        <v>1</v>
      </c>
    </row>
    <row r="17">
      <c r="C17" s="6" t="inlineStr">
        <is>
          <t>Annual Team-logo churn</t>
        </is>
      </c>
      <c r="D17" s="9" t="n">
        <v>0.18</v>
      </c>
      <c r="E17" s="9" t="n">
        <v>0.12</v>
      </c>
      <c r="F17" s="9" t="n">
        <v>0.08</v>
      </c>
    </row>
    <row r="18">
      <c r="C18" s="6" t="inlineStr">
        <is>
          <t>Enterprise wins — Year 1</t>
        </is>
      </c>
      <c r="D18" s="10" t="n">
        <v>0</v>
      </c>
      <c r="E18" s="10" t="n">
        <v>1</v>
      </c>
      <c r="F18" s="10" t="n">
        <v>2</v>
      </c>
    </row>
    <row r="19">
      <c r="C19" s="6" t="inlineStr">
        <is>
          <t>Enterprise win growth</t>
        </is>
      </c>
      <c r="D19" s="9" t="n">
        <v>0.1</v>
      </c>
      <c r="E19" s="9" t="n">
        <v>0.5</v>
      </c>
      <c r="F19" s="9" t="n">
        <v>0.75</v>
      </c>
    </row>
    <row r="20">
      <c r="C20" s="6" t="inlineStr">
        <is>
          <t>Subscription gross margin</t>
        </is>
      </c>
      <c r="D20" s="9" t="n">
        <v>0.7</v>
      </c>
      <c r="E20" s="9" t="n">
        <v>0.78</v>
      </c>
      <c r="F20" s="9" t="n">
        <v>0.83</v>
      </c>
    </row>
    <row r="21">
      <c r="C21" s="6" t="inlineStr">
        <is>
          <t>R&amp;D annual expense growth</t>
        </is>
      </c>
      <c r="D21" s="9" t="n">
        <v>0.15</v>
      </c>
      <c r="E21" s="9" t="n">
        <v>0.2</v>
      </c>
      <c r="F21" s="9" t="n">
        <v>0.28</v>
      </c>
    </row>
    <row r="22">
      <c r="C22" s="6" t="inlineStr">
        <is>
          <t>Sales &amp; success annual expense growth</t>
        </is>
      </c>
      <c r="D22" s="9" t="n">
        <v>0.1</v>
      </c>
      <c r="E22" s="9" t="n">
        <v>0.25</v>
      </c>
      <c r="F22" s="9" t="n">
        <v>0.4</v>
      </c>
    </row>
    <row r="23">
      <c r="C23" s="6" t="inlineStr">
        <is>
          <t>G&amp;A annual expense growth</t>
        </is>
      </c>
      <c r="D23" s="9" t="n">
        <v>0.08</v>
      </c>
      <c r="E23" s="9" t="n">
        <v>0.15</v>
      </c>
      <c r="F23" s="9" t="n">
        <v>0.2</v>
      </c>
    </row>
    <row r="24"/>
    <row r="25"/>
    <row r="26">
      <c r="C26" s="4" t="inlineStr">
        <is>
          <t>Commercial Inputs</t>
        </is>
      </c>
      <c r="D26" s="5" t="n"/>
      <c r="E26" s="5" t="n"/>
      <c r="F26" s="5" t="n"/>
    </row>
    <row r="27">
      <c r="C27" s="6" t="inlineStr">
        <is>
          <t>Starting Professional seats — Year 1</t>
        </is>
      </c>
      <c r="D27" s="10" t="n">
        <v>50</v>
      </c>
    </row>
    <row r="28">
      <c r="C28" s="6" t="inlineStr">
        <is>
          <t>Professional monthly price</t>
        </is>
      </c>
      <c r="D28" s="11" t="n">
        <v>39</v>
      </c>
    </row>
    <row r="29">
      <c r="C29" s="6" t="inlineStr">
        <is>
          <t>Starting Team logos — Year 1</t>
        </is>
      </c>
      <c r="D29" s="10" t="n">
        <v>2</v>
      </c>
    </row>
    <row r="30">
      <c r="C30" s="6" t="inlineStr">
        <is>
          <t>Team annual contract value</t>
        </is>
      </c>
      <c r="D30" s="11" t="n">
        <v>5000</v>
      </c>
    </row>
    <row r="31">
      <c r="C31" s="6" t="inlineStr">
        <is>
          <t>Starting Enterprise logos</t>
        </is>
      </c>
      <c r="D31" s="10" t="n">
        <v>0</v>
      </c>
    </row>
    <row r="32">
      <c r="C32" s="6" t="inlineStr">
        <is>
          <t>Enterprise annual contract value</t>
        </is>
      </c>
      <c r="D32" s="11" t="n">
        <v>30000</v>
      </c>
    </row>
    <row r="33">
      <c r="C33" s="6" t="inlineStr">
        <is>
          <t>Enterprise onboarding fee</t>
        </is>
      </c>
      <c r="D33" s="11" t="n">
        <v>7500</v>
      </c>
    </row>
    <row r="34">
      <c r="C34" s="6" t="inlineStr">
        <is>
          <t>R&amp;D expense — Year 1</t>
        </is>
      </c>
      <c r="D34" s="11" t="n">
        <v>200000</v>
      </c>
    </row>
    <row r="35">
      <c r="C35" s="6" t="inlineStr">
        <is>
          <t>Sales &amp; success expense — Year 1</t>
        </is>
      </c>
      <c r="D35" s="11" t="n">
        <v>50000</v>
      </c>
    </row>
    <row r="36">
      <c r="C36" s="6" t="inlineStr">
        <is>
          <t>G&amp;A expense — Year 1</t>
        </is>
      </c>
      <c r="D36" s="11" t="n">
        <v>30000</v>
      </c>
    </row>
    <row r="37"/>
    <row r="38"/>
    <row r="39">
      <c r="C39" s="4" t="inlineStr">
        <is>
          <t>Scenario Resolution</t>
        </is>
      </c>
      <c r="D39" s="5" t="n"/>
      <c r="E39" s="5" t="n"/>
      <c r="F39" s="5" t="n"/>
    </row>
    <row r="40">
      <c r="C40" s="6" t="inlineStr">
        <is>
          <t>Selected Professional growth</t>
        </is>
      </c>
      <c r="D40" s="12">
        <f>INDEX($D$14:$F$14,1,MATCH($D$9,$D$13:$F$13,0))</f>
        <v/>
      </c>
    </row>
    <row r="41">
      <c r="C41" s="6" t="inlineStr">
        <is>
          <t>Selected Professional churn</t>
        </is>
      </c>
      <c r="D41" s="12">
        <f>INDEX($D$15:$F$15,1,MATCH($D$9,$D$13:$F$13,0))</f>
        <v/>
      </c>
    </row>
    <row r="42">
      <c r="C42" s="6" t="inlineStr">
        <is>
          <t>Selected Team-logo growth</t>
        </is>
      </c>
      <c r="D42" s="12">
        <f>INDEX($D$16:$F$16,1,MATCH($D$9,$D$13:$F$13,0))</f>
        <v/>
      </c>
    </row>
    <row r="43">
      <c r="C43" s="6" t="inlineStr">
        <is>
          <t>Selected Team-logo churn</t>
        </is>
      </c>
      <c r="D43" s="12">
        <f>INDEX($D$17:$F$17,1,MATCH($D$9,$D$13:$F$13,0))</f>
        <v/>
      </c>
    </row>
    <row r="44">
      <c r="C44" s="6" t="inlineStr">
        <is>
          <t>Selected Enterprise wins — Year 1</t>
        </is>
      </c>
      <c r="D44" s="13">
        <f>INDEX($D$18:$F$18,1,MATCH($D$9,$D$13:$F$13,0))</f>
        <v/>
      </c>
    </row>
    <row r="45">
      <c r="C45" s="6" t="inlineStr">
        <is>
          <t>Selected Enterprise win growth</t>
        </is>
      </c>
      <c r="D45" s="12">
        <f>INDEX($D$19:$F$19,1,MATCH($D$9,$D$13:$F$13,0))</f>
        <v/>
      </c>
    </row>
    <row r="46">
      <c r="C46" s="6" t="inlineStr">
        <is>
          <t>Selected Gross margin</t>
        </is>
      </c>
      <c r="D46" s="12">
        <f>INDEX($D$20:$F$20,1,MATCH($D$9,$D$13:$F$13,0))</f>
        <v/>
      </c>
    </row>
    <row r="47">
      <c r="C47" s="6" t="inlineStr">
        <is>
          <t>Selected R&amp;D growth</t>
        </is>
      </c>
      <c r="D47" s="12">
        <f>INDEX($D$21:$F$21,1,MATCH($D$9,$D$13:$F$13,0))</f>
        <v/>
      </c>
    </row>
    <row r="48">
      <c r="C48" s="6" t="inlineStr">
        <is>
          <t>Selected Sales &amp; success growth</t>
        </is>
      </c>
      <c r="D48" s="12">
        <f>INDEX($D$22:$F$22,1,MATCH($D$9,$D$13:$F$13,0))</f>
        <v/>
      </c>
    </row>
    <row r="49">
      <c r="C49" s="6" t="inlineStr">
        <is>
          <t>Selected G&amp;A growth</t>
        </is>
      </c>
      <c r="D49" s="12">
        <f>INDEX($D$23:$F$23,1,MATCH($D$9,$D$13:$F$13,0))</f>
        <v/>
      </c>
    </row>
  </sheetData>
  <mergeCells count="1">
    <mergeCell ref="C3:H3"/>
  </mergeCells>
  <dataValidations count="1">
    <dataValidation sqref="D9" showDropDown="0" showInputMessage="0" showErrorMessage="0" allowBlank="0" type="list">
      <formula1>"Downside,Base,Upside"</formula1>
    </dataValidation>
  </dataValidations>
  <pageMargins left="0.75" right="0.75" top="1" bottom="1" header="0.5" footer="0.5"/>
  <pageSetup orientation="landscape" fitToHeight="0" fitToWidth="1"/>
  <headerFooter>
    <oddHeader/>
    <oddFooter>&amp;CAssumptions —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H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5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/>
    <row r="2"/>
    <row r="3">
      <c r="C3" s="1" t="inlineStr">
        <is>
          <t>Revenue Build</t>
        </is>
      </c>
    </row>
    <row r="4"/>
    <row r="5">
      <c r="C5" s="2" t="inlineStr">
        <is>
          <t>Driver-based annual revenue and ARR planning</t>
        </is>
      </c>
    </row>
    <row r="6">
      <c r="C6" s="3" t="inlineStr">
        <is>
          <t>USD unless stated otherwise</t>
        </is>
      </c>
    </row>
    <row r="7"/>
    <row r="8">
      <c r="C8" s="14" t="inlineStr">
        <is>
          <t>Metric</t>
        </is>
      </c>
      <c r="D8" s="15" t="inlineStr">
        <is>
          <t>2026E</t>
        </is>
      </c>
      <c r="E8" s="16" t="inlineStr">
        <is>
          <t>2027E</t>
        </is>
      </c>
      <c r="F8" s="16" t="inlineStr">
        <is>
          <t>2028E</t>
        </is>
      </c>
      <c r="G8" s="16" t="inlineStr">
        <is>
          <t>2029E</t>
        </is>
      </c>
      <c r="H8" s="16" t="inlineStr">
        <is>
          <t>2030E</t>
        </is>
      </c>
    </row>
    <row r="9">
      <c r="D9" s="17" t="n"/>
    </row>
    <row r="10">
      <c r="C10" s="4" t="inlineStr">
        <is>
          <t>Professional Subscription</t>
        </is>
      </c>
      <c r="D10" s="18" t="n"/>
      <c r="E10" s="5" t="n"/>
      <c r="F10" s="5" t="n"/>
      <c r="G10" s="5" t="n"/>
      <c r="H10" s="5" t="n"/>
    </row>
    <row r="11">
      <c r="C11" s="6" t="inlineStr">
        <is>
          <t>Active Professional seats</t>
        </is>
      </c>
      <c r="D11" s="19">
        <f>Assumptions!$D$27</f>
        <v/>
      </c>
      <c r="E11" s="20">
        <f>D11*(1+Assumptions!$D$40)*(1-Assumptions!$D$41)</f>
        <v/>
      </c>
      <c r="F11" s="20">
        <f>E11*(1+Assumptions!$D$40)*(1-Assumptions!$D$41)</f>
        <v/>
      </c>
      <c r="G11" s="20">
        <f>F11*(1+Assumptions!$D$40)*(1-Assumptions!$D$41)</f>
        <v/>
      </c>
      <c r="H11" s="20">
        <f>G11*(1+Assumptions!$D$40)*(1-Assumptions!$D$41)</f>
        <v/>
      </c>
    </row>
    <row r="12">
      <c r="C12" t="inlineStr">
        <is>
          <t>Monthly price per seat</t>
        </is>
      </c>
      <c r="D12" s="21">
        <f>Assumptions!$D$28</f>
        <v/>
      </c>
      <c r="E12" s="22">
        <f>Assumptions!$D$28</f>
        <v/>
      </c>
      <c r="F12" s="22">
        <f>Assumptions!$D$28</f>
        <v/>
      </c>
      <c r="G12" s="22">
        <f>Assumptions!$D$28</f>
        <v/>
      </c>
      <c r="H12" s="22">
        <f>Assumptions!$D$28</f>
        <v/>
      </c>
    </row>
    <row r="13">
      <c r="C13" s="23" t="inlineStr">
        <is>
          <t>Professional ARR</t>
        </is>
      </c>
      <c r="D13" s="24">
        <f>D11*D12*12</f>
        <v/>
      </c>
      <c r="E13" s="25">
        <f>E11*E12*12</f>
        <v/>
      </c>
      <c r="F13" s="25">
        <f>F11*F12*12</f>
        <v/>
      </c>
      <c r="G13" s="25">
        <f>G11*G12*12</f>
        <v/>
      </c>
      <c r="H13" s="25">
        <f>H11*H12*12</f>
        <v/>
      </c>
    </row>
    <row r="14">
      <c r="D14" s="17" t="n"/>
    </row>
    <row r="15">
      <c r="C15" s="6" t="inlineStr">
        <is>
          <t>Team Contracts</t>
        </is>
      </c>
      <c r="D15" s="17" t="n"/>
    </row>
    <row r="16">
      <c r="C16" s="6" t="inlineStr">
        <is>
          <t>Active Team logos</t>
        </is>
      </c>
      <c r="D16" s="19">
        <f>Assumptions!$D$29</f>
        <v/>
      </c>
      <c r="E16" s="20">
        <f>D16*(1+Assumptions!$D$42)*(1-Assumptions!$D$43)</f>
        <v/>
      </c>
      <c r="F16" s="20">
        <f>E16*(1+Assumptions!$D$42)*(1-Assumptions!$D$43)</f>
        <v/>
      </c>
      <c r="G16" s="20">
        <f>F16*(1+Assumptions!$D$42)*(1-Assumptions!$D$43)</f>
        <v/>
      </c>
      <c r="H16" s="20">
        <f>G16*(1+Assumptions!$D$42)*(1-Assumptions!$D$43)</f>
        <v/>
      </c>
    </row>
    <row r="17">
      <c r="C17" s="6" t="inlineStr">
        <is>
          <t>Team annual contract value</t>
        </is>
      </c>
      <c r="D17" s="21">
        <f>Assumptions!$D$30</f>
        <v/>
      </c>
      <c r="E17" s="26">
        <f>Assumptions!$D$30</f>
        <v/>
      </c>
      <c r="F17" s="26">
        <f>Assumptions!$D$30</f>
        <v/>
      </c>
      <c r="G17" s="26">
        <f>Assumptions!$D$30</f>
        <v/>
      </c>
      <c r="H17" s="26">
        <f>Assumptions!$D$30</f>
        <v/>
      </c>
    </row>
    <row r="18">
      <c r="C18" s="23" t="inlineStr">
        <is>
          <t>Team ARR</t>
        </is>
      </c>
      <c r="D18" s="24">
        <f>D16*D17</f>
        <v/>
      </c>
      <c r="E18" s="25">
        <f>E16*E17</f>
        <v/>
      </c>
      <c r="F18" s="25">
        <f>F16*F17</f>
        <v/>
      </c>
      <c r="G18" s="25">
        <f>G16*G17</f>
        <v/>
      </c>
      <c r="H18" s="25">
        <f>H16*H17</f>
        <v/>
      </c>
    </row>
    <row r="19">
      <c r="D19" s="17" t="n"/>
    </row>
    <row r="20">
      <c r="C20" s="6" t="inlineStr">
        <is>
          <t>Enterprise Contracts</t>
        </is>
      </c>
      <c r="D20" s="17" t="n"/>
    </row>
    <row r="21">
      <c r="C21" s="6" t="inlineStr">
        <is>
          <t>Enterprise wins</t>
        </is>
      </c>
      <c r="D21" s="19">
        <f>Assumptions!$D$44</f>
        <v/>
      </c>
      <c r="E21" s="20">
        <f>D21*(1+Assumptions!$D$45)</f>
        <v/>
      </c>
      <c r="F21" s="20">
        <f>E21*(1+Assumptions!$D$45)</f>
        <v/>
      </c>
      <c r="G21" s="20">
        <f>F21*(1+Assumptions!$D$45)</f>
        <v/>
      </c>
      <c r="H21" s="20">
        <f>G21*(1+Assumptions!$D$45)</f>
        <v/>
      </c>
    </row>
    <row r="22">
      <c r="C22" s="6" t="inlineStr">
        <is>
          <t>Active Enterprise logos</t>
        </is>
      </c>
      <c r="D22" s="19">
        <f>Assumptions!$D$31+D21</f>
        <v/>
      </c>
      <c r="E22" s="13">
        <f>D22+E21</f>
        <v/>
      </c>
      <c r="F22" s="13">
        <f>E22+F21</f>
        <v/>
      </c>
      <c r="G22" s="13">
        <f>F22+G21</f>
        <v/>
      </c>
      <c r="H22" s="13">
        <f>G22+H21</f>
        <v/>
      </c>
    </row>
    <row r="23">
      <c r="C23" s="6" t="inlineStr">
        <is>
          <t>Enterprise annual contract value</t>
        </is>
      </c>
      <c r="D23" s="21">
        <f>Assumptions!$D$32</f>
        <v/>
      </c>
      <c r="E23" s="26">
        <f>Assumptions!$D$32</f>
        <v/>
      </c>
      <c r="F23" s="26">
        <f>Assumptions!$D$32</f>
        <v/>
      </c>
      <c r="G23" s="26">
        <f>Assumptions!$D$32</f>
        <v/>
      </c>
      <c r="H23" s="26">
        <f>Assumptions!$D$32</f>
        <v/>
      </c>
    </row>
    <row r="24">
      <c r="C24" s="23" t="inlineStr">
        <is>
          <t>Enterprise ARR</t>
        </is>
      </c>
      <c r="D24" s="24">
        <f>D22*D23</f>
        <v/>
      </c>
      <c r="E24" s="25">
        <f>E22*E23</f>
        <v/>
      </c>
      <c r="F24" s="25">
        <f>F22*F23</f>
        <v/>
      </c>
      <c r="G24" s="25">
        <f>G22*G23</f>
        <v/>
      </c>
      <c r="H24" s="25">
        <f>H22*H23</f>
        <v/>
      </c>
    </row>
    <row r="25">
      <c r="C25" s="6" t="inlineStr">
        <is>
          <t>Onboarding revenue</t>
        </is>
      </c>
      <c r="D25" s="21">
        <f>D21*Assumptions!$D$33</f>
        <v/>
      </c>
      <c r="E25" s="26">
        <f>E21*Assumptions!$D$33</f>
        <v/>
      </c>
      <c r="F25" s="26">
        <f>F21*Assumptions!$D$33</f>
        <v/>
      </c>
      <c r="G25" s="26">
        <f>G21*Assumptions!$D$33</f>
        <v/>
      </c>
      <c r="H25" s="26">
        <f>H21*Assumptions!$D$33</f>
        <v/>
      </c>
    </row>
    <row r="26">
      <c r="D26" s="17" t="n"/>
    </row>
    <row r="27">
      <c r="C27" s="23" t="inlineStr">
        <is>
          <t>Total subscription ARR</t>
        </is>
      </c>
      <c r="D27" s="24">
        <f>D13+D18+D24</f>
        <v/>
      </c>
      <c r="E27" s="25">
        <f>E13+E18+E24</f>
        <v/>
      </c>
      <c r="F27" s="25">
        <f>F13+F18+F24</f>
        <v/>
      </c>
      <c r="G27" s="25">
        <f>G13+G18+G24</f>
        <v/>
      </c>
      <c r="H27" s="25">
        <f>H13+H18+H24</f>
        <v/>
      </c>
    </row>
    <row r="28">
      <c r="C28" s="23" t="inlineStr">
        <is>
          <t>Total revenue</t>
        </is>
      </c>
      <c r="D28" s="24">
        <f>D27+D25</f>
        <v/>
      </c>
      <c r="E28" s="25">
        <f>E27+E25</f>
        <v/>
      </c>
      <c r="F28" s="25">
        <f>F27+F25</f>
        <v/>
      </c>
      <c r="G28" s="25">
        <f>G27+G25</f>
        <v/>
      </c>
      <c r="H28" s="25">
        <f>H27+H25</f>
        <v/>
      </c>
    </row>
  </sheetData>
  <mergeCells count="1">
    <mergeCell ref="C3:H3"/>
  </mergeCells>
  <pageMargins left="0.75" right="0.75" top="1" bottom="1" header="0.5" footer="0.5"/>
  <pageSetup orientation="landscape" fitToHeight="0" fitToWidth="1"/>
  <headerFooter>
    <oddHeader/>
    <oddFooter>&amp;CRevenue —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H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/>
    <row r="2"/>
    <row r="3">
      <c r="C3" s="1" t="inlineStr">
        <is>
          <t>Operating Model</t>
        </is>
      </c>
    </row>
    <row r="4"/>
    <row r="5">
      <c r="C5" s="2" t="inlineStr">
        <is>
          <t>Revenue, gross profit and planning EBITDA</t>
        </is>
      </c>
    </row>
    <row r="6">
      <c r="C6" s="3" t="inlineStr">
        <is>
          <t>USD unless stated otherwise</t>
        </is>
      </c>
    </row>
    <row r="7"/>
    <row r="8">
      <c r="C8" s="14" t="inlineStr">
        <is>
          <t>Metric</t>
        </is>
      </c>
      <c r="D8" s="15" t="inlineStr">
        <is>
          <t>2026E</t>
        </is>
      </c>
      <c r="E8" s="16" t="inlineStr">
        <is>
          <t>2027E</t>
        </is>
      </c>
      <c r="F8" s="16" t="inlineStr">
        <is>
          <t>2028E</t>
        </is>
      </c>
      <c r="G8" s="16" t="inlineStr">
        <is>
          <t>2029E</t>
        </is>
      </c>
      <c r="H8" s="16" t="inlineStr">
        <is>
          <t>2030E</t>
        </is>
      </c>
    </row>
    <row r="9">
      <c r="D9" s="17" t="n"/>
    </row>
    <row r="10">
      <c r="C10" s="4" t="inlineStr">
        <is>
          <t>Income Statement</t>
        </is>
      </c>
      <c r="D10" s="18" t="n"/>
      <c r="E10" s="5" t="n"/>
      <c r="F10" s="5" t="n"/>
      <c r="G10" s="5" t="n"/>
      <c r="H10" s="5" t="n"/>
    </row>
    <row r="11">
      <c r="C11" s="6" t="inlineStr">
        <is>
          <t>Revenue</t>
        </is>
      </c>
      <c r="D11" s="21">
        <f>Revenue!D28</f>
        <v/>
      </c>
      <c r="E11" s="26">
        <f>Revenue!E28</f>
        <v/>
      </c>
      <c r="F11" s="26">
        <f>Revenue!F28</f>
        <v/>
      </c>
      <c r="G11" s="26">
        <f>Revenue!G28</f>
        <v/>
      </c>
      <c r="H11" s="26">
        <f>Revenue!H28</f>
        <v/>
      </c>
    </row>
    <row r="12">
      <c r="C12" t="inlineStr">
        <is>
          <t>Cost of revenue</t>
        </is>
      </c>
      <c r="D12" s="21">
        <f>-D11*(1-Assumptions!$D$46)</f>
        <v/>
      </c>
      <c r="E12" s="22">
        <f>-E11*(1-Assumptions!$D$46)</f>
        <v/>
      </c>
      <c r="F12" s="22">
        <f>-F11*(1-Assumptions!$D$46)</f>
        <v/>
      </c>
      <c r="G12" s="22">
        <f>-G11*(1-Assumptions!$D$46)</f>
        <v/>
      </c>
      <c r="H12" s="22">
        <f>-H11*(1-Assumptions!$D$46)</f>
        <v/>
      </c>
    </row>
    <row r="13">
      <c r="C13" s="27" t="inlineStr">
        <is>
          <t>Gross profit</t>
        </is>
      </c>
      <c r="D13" s="28">
        <f>D11+D12</f>
        <v/>
      </c>
      <c r="E13" s="28">
        <f>E11+E12</f>
        <v/>
      </c>
      <c r="F13" s="28">
        <f>F11+F12</f>
        <v/>
      </c>
      <c r="G13" s="28">
        <f>G11+G12</f>
        <v/>
      </c>
      <c r="H13" s="28">
        <f>H11+H12</f>
        <v/>
      </c>
    </row>
    <row r="14">
      <c r="C14" s="6" t="inlineStr">
        <is>
          <t>Gross margin</t>
        </is>
      </c>
      <c r="D14" s="29">
        <f>IFERROR(D13/D11,0)</f>
        <v/>
      </c>
      <c r="E14" s="12">
        <f>IFERROR(E13/E11,0)</f>
        <v/>
      </c>
      <c r="F14" s="12">
        <f>IFERROR(F13/F11,0)</f>
        <v/>
      </c>
      <c r="G14" s="12">
        <f>IFERROR(G13/G11,0)</f>
        <v/>
      </c>
      <c r="H14" s="12">
        <f>IFERROR(H13/H11,0)</f>
        <v/>
      </c>
    </row>
    <row r="15">
      <c r="D15" s="17" t="n"/>
    </row>
    <row r="16">
      <c r="C16" s="6" t="inlineStr">
        <is>
          <t>R&amp;D</t>
        </is>
      </c>
      <c r="D16" s="21">
        <f>-Assumptions!$D$34</f>
        <v/>
      </c>
      <c r="E16" s="26">
        <f>D16*(1+Assumptions!$D$47)</f>
        <v/>
      </c>
      <c r="F16" s="26">
        <f>E16*(1+Assumptions!$D$47)</f>
        <v/>
      </c>
      <c r="G16" s="26">
        <f>F16*(1+Assumptions!$D$47)</f>
        <v/>
      </c>
      <c r="H16" s="26">
        <f>G16*(1+Assumptions!$D$47)</f>
        <v/>
      </c>
    </row>
    <row r="17">
      <c r="C17" s="6" t="inlineStr">
        <is>
          <t>Sales &amp; customer success</t>
        </is>
      </c>
      <c r="D17" s="21">
        <f>-Assumptions!$D$35</f>
        <v/>
      </c>
      <c r="E17" s="26">
        <f>D17*(1+Assumptions!$D$48)</f>
        <v/>
      </c>
      <c r="F17" s="26">
        <f>E17*(1+Assumptions!$D$48)</f>
        <v/>
      </c>
      <c r="G17" s="26">
        <f>F17*(1+Assumptions!$D$48)</f>
        <v/>
      </c>
      <c r="H17" s="26">
        <f>G17*(1+Assumptions!$D$48)</f>
        <v/>
      </c>
    </row>
    <row r="18">
      <c r="C18" s="23" t="inlineStr">
        <is>
          <t>G&amp;A</t>
        </is>
      </c>
      <c r="D18" s="30">
        <f>-Assumptions!$D$36</f>
        <v/>
      </c>
      <c r="E18" s="31">
        <f>D18*(1+Assumptions!$D$49)</f>
        <v/>
      </c>
      <c r="F18" s="31">
        <f>E18*(1+Assumptions!$D$49)</f>
        <v/>
      </c>
      <c r="G18" s="31">
        <f>F18*(1+Assumptions!$D$49)</f>
        <v/>
      </c>
      <c r="H18" s="31">
        <f>G18*(1+Assumptions!$D$49)</f>
        <v/>
      </c>
    </row>
    <row r="19">
      <c r="C19" s="6" t="inlineStr">
        <is>
          <t>Operating expenses</t>
        </is>
      </c>
      <c r="D19" s="32">
        <f>D16+D17+D18</f>
        <v/>
      </c>
      <c r="E19" s="33">
        <f>E16+E17+E18</f>
        <v/>
      </c>
      <c r="F19" s="33">
        <f>F16+F17+F18</f>
        <v/>
      </c>
      <c r="G19" s="33">
        <f>G16+G17+G18</f>
        <v/>
      </c>
      <c r="H19" s="33">
        <f>H16+H17+H18</f>
        <v/>
      </c>
    </row>
    <row r="20">
      <c r="D20" s="17" t="n"/>
    </row>
    <row r="21">
      <c r="C21" s="34" t="inlineStr">
        <is>
          <t>Planning EBITDA</t>
        </is>
      </c>
      <c r="D21" s="35">
        <f>D13+D19</f>
        <v/>
      </c>
      <c r="E21" s="35">
        <f>E13+E19</f>
        <v/>
      </c>
      <c r="F21" s="35">
        <f>F13+F19</f>
        <v/>
      </c>
      <c r="G21" s="35">
        <f>G13+G19</f>
        <v/>
      </c>
      <c r="H21" s="35">
        <f>H13+H19</f>
        <v/>
      </c>
    </row>
    <row r="22">
      <c r="C22" s="6" t="inlineStr">
        <is>
          <t>EBITDA margin</t>
        </is>
      </c>
      <c r="D22" s="29">
        <f>IFERROR(D21/D11,0)</f>
        <v/>
      </c>
      <c r="E22" s="12">
        <f>IFERROR(E21/E11,0)</f>
        <v/>
      </c>
      <c r="F22" s="12">
        <f>IFERROR(F21/F11,0)</f>
        <v/>
      </c>
      <c r="G22" s="12">
        <f>IFERROR(G21/G11,0)</f>
        <v/>
      </c>
      <c r="H22" s="12">
        <f>IFERROR(H21/H11,0)</f>
        <v/>
      </c>
    </row>
    <row r="23">
      <c r="D23" s="17" t="n"/>
    </row>
    <row r="24">
      <c r="C24" s="23" t="inlineStr">
        <is>
          <t>Cash burn before financing/tax</t>
        </is>
      </c>
      <c r="D24" s="24">
        <f>-D21</f>
        <v/>
      </c>
      <c r="E24" s="25">
        <f>-E21</f>
        <v/>
      </c>
      <c r="F24" s="25">
        <f>-F21</f>
        <v/>
      </c>
      <c r="G24" s="25">
        <f>-G21</f>
        <v/>
      </c>
      <c r="H24" s="25">
        <f>-H21</f>
        <v/>
      </c>
    </row>
  </sheetData>
  <mergeCells count="1">
    <mergeCell ref="C3:H3"/>
  </mergeCells>
  <conditionalFormatting sqref="D21:H21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&amp;COperating Model —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C1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/>
    <row r="2"/>
    <row r="3">
      <c r="C3" s="1" t="inlineStr">
        <is>
          <t>Commercial KPIs</t>
        </is>
      </c>
    </row>
    <row r="4"/>
    <row r="5">
      <c r="C5" s="2" t="inlineStr">
        <is>
          <t>Planning outputs — replace with observed cohort data when available</t>
        </is>
      </c>
    </row>
    <row r="6">
      <c r="C6" s="3" t="inlineStr">
        <is>
          <t>USD unless stated otherwise</t>
        </is>
      </c>
    </row>
    <row r="7"/>
    <row r="8">
      <c r="C8" s="14" t="inlineStr">
        <is>
          <t>Metric</t>
        </is>
      </c>
      <c r="D8" s="15" t="inlineStr">
        <is>
          <t>2026E</t>
        </is>
      </c>
      <c r="E8" s="16" t="inlineStr">
        <is>
          <t>2027E</t>
        </is>
      </c>
      <c r="F8" s="16" t="inlineStr">
        <is>
          <t>2028E</t>
        </is>
      </c>
      <c r="G8" s="16" t="inlineStr">
        <is>
          <t>2029E</t>
        </is>
      </c>
      <c r="H8" s="16" t="inlineStr">
        <is>
          <t>2030E</t>
        </is>
      </c>
    </row>
    <row r="9">
      <c r="D9" s="17" t="n"/>
    </row>
    <row r="10">
      <c r="C10" s="4" t="inlineStr">
        <is>
          <t>Growth and Efficiency</t>
        </is>
      </c>
      <c r="D10" s="18" t="n"/>
      <c r="E10" s="5" t="n"/>
      <c r="F10" s="5" t="n"/>
      <c r="G10" s="5" t="n"/>
      <c r="H10" s="5" t="n"/>
    </row>
    <row r="11">
      <c r="C11" s="6" t="inlineStr">
        <is>
          <t>Professional seats</t>
        </is>
      </c>
      <c r="D11" s="19">
        <f>Revenue!D11</f>
        <v/>
      </c>
      <c r="E11" s="20">
        <f>Revenue!E11</f>
        <v/>
      </c>
      <c r="F11" s="20">
        <f>Revenue!F11</f>
        <v/>
      </c>
      <c r="G11" s="20">
        <f>Revenue!G11</f>
        <v/>
      </c>
      <c r="H11" s="20">
        <f>Revenue!H11</f>
        <v/>
      </c>
    </row>
    <row r="12">
      <c r="C12" t="inlineStr">
        <is>
          <t>Team logos</t>
        </is>
      </c>
      <c r="D12" s="19">
        <f>Revenue!D16</f>
        <v/>
      </c>
      <c r="E12" s="36">
        <f>Revenue!E16</f>
        <v/>
      </c>
      <c r="F12" s="36">
        <f>Revenue!F16</f>
        <v/>
      </c>
      <c r="G12" s="36">
        <f>Revenue!G16</f>
        <v/>
      </c>
      <c r="H12" s="36">
        <f>Revenue!H16</f>
        <v/>
      </c>
    </row>
    <row r="13">
      <c r="C13" s="23" t="inlineStr">
        <is>
          <t>Enterprise logos</t>
        </is>
      </c>
      <c r="D13" s="37">
        <f>Revenue!D22</f>
        <v/>
      </c>
      <c r="E13" s="38">
        <f>Revenue!E22</f>
        <v/>
      </c>
      <c r="F13" s="38">
        <f>Revenue!F22</f>
        <v/>
      </c>
      <c r="G13" s="38">
        <f>Revenue!G22</f>
        <v/>
      </c>
      <c r="H13" s="38">
        <f>Revenue!H22</f>
        <v/>
      </c>
    </row>
    <row r="14">
      <c r="C14" s="6" t="inlineStr">
        <is>
          <t>Total logos</t>
        </is>
      </c>
      <c r="D14" s="39">
        <f>D11+D12+D13</f>
        <v/>
      </c>
      <c r="E14" s="13">
        <f>E11+E12+E13</f>
        <v/>
      </c>
      <c r="F14" s="13">
        <f>F11+F12+F13</f>
        <v/>
      </c>
      <c r="G14" s="13">
        <f>G11+G12+G13</f>
        <v/>
      </c>
      <c r="H14" s="13">
        <f>H11+H12+H13</f>
        <v/>
      </c>
    </row>
    <row r="15">
      <c r="D15" s="17" t="n"/>
    </row>
    <row r="16">
      <c r="C16" s="6" t="inlineStr">
        <is>
          <t>Subscription ARR</t>
        </is>
      </c>
      <c r="D16" s="21">
        <f>Revenue!D27</f>
        <v/>
      </c>
      <c r="E16" s="26">
        <f>Revenue!E27</f>
        <v/>
      </c>
      <c r="F16" s="26">
        <f>Revenue!F27</f>
        <v/>
      </c>
      <c r="G16" s="26">
        <f>Revenue!G27</f>
        <v/>
      </c>
      <c r="H16" s="26">
        <f>Revenue!H27</f>
        <v/>
      </c>
    </row>
    <row r="17">
      <c r="C17" s="6" t="inlineStr">
        <is>
          <t>Total revenue</t>
        </is>
      </c>
      <c r="D17" s="21">
        <f>Revenue!D28</f>
        <v/>
      </c>
      <c r="E17" s="26">
        <f>Revenue!E28</f>
        <v/>
      </c>
      <c r="F17" s="26">
        <f>Revenue!F28</f>
        <v/>
      </c>
      <c r="G17" s="26">
        <f>Revenue!G28</f>
        <v/>
      </c>
      <c r="H17" s="26">
        <f>Revenue!H28</f>
        <v/>
      </c>
    </row>
    <row r="18">
      <c r="C18" s="23" t="inlineStr">
        <is>
          <t>Gross profit</t>
        </is>
      </c>
      <c r="D18" s="30">
        <f>'Operating Model'!D13</f>
        <v/>
      </c>
      <c r="E18" s="31">
        <f>'Operating Model'!E13</f>
        <v/>
      </c>
      <c r="F18" s="31">
        <f>'Operating Model'!F13</f>
        <v/>
      </c>
      <c r="G18" s="31">
        <f>'Operating Model'!G13</f>
        <v/>
      </c>
      <c r="H18" s="31">
        <f>'Operating Model'!H13</f>
        <v/>
      </c>
    </row>
    <row r="19">
      <c r="C19" s="6" t="inlineStr">
        <is>
          <t>Planning EBITDA</t>
        </is>
      </c>
      <c r="D19" s="21">
        <f>'Operating Model'!D21</f>
        <v/>
      </c>
      <c r="E19" s="26">
        <f>'Operating Model'!E21</f>
        <v/>
      </c>
      <c r="F19" s="26">
        <f>'Operating Model'!F21</f>
        <v/>
      </c>
      <c r="G19" s="26">
        <f>'Operating Model'!G21</f>
        <v/>
      </c>
      <c r="H19" s="26">
        <f>'Operating Model'!H21</f>
        <v/>
      </c>
    </row>
    <row r="20">
      <c r="D20" s="17" t="n"/>
    </row>
    <row r="21">
      <c r="C21" s="6" t="inlineStr">
        <is>
          <t>Revenue growth</t>
        </is>
      </c>
      <c r="D21" s="29">
        <f>0</f>
        <v/>
      </c>
      <c r="E21" s="12">
        <f>IFERROR(E17/D17-1,0)</f>
        <v/>
      </c>
      <c r="F21" s="12">
        <f>IFERROR(F17/E17-1,0)</f>
        <v/>
      </c>
      <c r="G21" s="12">
        <f>IFERROR(G17/F17-1,0)</f>
        <v/>
      </c>
      <c r="H21" s="12">
        <f>IFERROR(H17/G17-1,0)</f>
        <v/>
      </c>
    </row>
    <row r="22">
      <c r="C22" s="6" t="inlineStr">
        <is>
          <t>Gross margin</t>
        </is>
      </c>
      <c r="D22" s="40">
        <f>'Operating Model'!D14</f>
        <v/>
      </c>
      <c r="E22" s="41">
        <f>'Operating Model'!E14</f>
        <v/>
      </c>
      <c r="F22" s="41">
        <f>'Operating Model'!F14</f>
        <v/>
      </c>
      <c r="G22" s="41">
        <f>'Operating Model'!G14</f>
        <v/>
      </c>
      <c r="H22" s="41">
        <f>'Operating Model'!H14</f>
        <v/>
      </c>
    </row>
    <row r="23">
      <c r="C23" s="6" t="inlineStr">
        <is>
          <t>EBITDA margin</t>
        </is>
      </c>
      <c r="D23" s="40">
        <f>'Operating Model'!D22</f>
        <v/>
      </c>
      <c r="E23" s="41">
        <f>'Operating Model'!E22</f>
        <v/>
      </c>
      <c r="F23" s="41">
        <f>'Operating Model'!F22</f>
        <v/>
      </c>
      <c r="G23" s="41">
        <f>'Operating Model'!G22</f>
        <v/>
      </c>
      <c r="H23" s="41">
        <f>'Operating Model'!H22</f>
        <v/>
      </c>
    </row>
    <row r="24">
      <c r="C24" s="42" t="n"/>
      <c r="D24" s="43" t="n"/>
      <c r="E24" s="42" t="n"/>
      <c r="F24" s="42" t="n"/>
      <c r="G24" s="42" t="n"/>
      <c r="H24" s="42" t="n"/>
    </row>
    <row r="25">
      <c r="C25" s="6" t="inlineStr">
        <is>
          <t>ARR per logo</t>
        </is>
      </c>
      <c r="D25" s="32">
        <f>IFERROR(D16/D14,0)</f>
        <v/>
      </c>
      <c r="E25" s="33">
        <f>IFERROR(E16/E14,0)</f>
        <v/>
      </c>
      <c r="F25" s="33">
        <f>IFERROR(F16/F14,0)</f>
        <v/>
      </c>
      <c r="G25" s="33">
        <f>IFERROR(G16/G14,0)</f>
        <v/>
      </c>
      <c r="H25" s="33">
        <f>IFERROR(H16/H14,0)</f>
        <v/>
      </c>
    </row>
  </sheetData>
  <mergeCells count="1">
    <mergeCell ref="C3:H3"/>
  </mergeCells>
  <conditionalFormatting sqref="D23:H23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&amp;CKPIs —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C1:H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2" customWidth="1" min="4" max="4"/>
    <col width="13" customWidth="1" min="5" max="5"/>
    <col width="25" customWidth="1" min="6" max="6"/>
    <col width="13" customWidth="1" min="7" max="7"/>
    <col width="12" customWidth="1" min="8" max="8"/>
  </cols>
  <sheetData>
    <row r="1"/>
    <row r="2"/>
    <row r="3">
      <c r="C3" s="1" t="inlineStr">
        <is>
          <t>Sources and Model Limits</t>
        </is>
      </c>
    </row>
    <row r="4"/>
    <row r="5">
      <c r="C5" s="2" t="inlineStr">
        <is>
          <t>Source log for hardcoded planning inputs and contextual references</t>
        </is>
      </c>
    </row>
    <row r="6">
      <c r="C6" s="3" t="inlineStr">
        <is>
          <t>N/A</t>
        </is>
      </c>
    </row>
    <row r="7"/>
    <row r="8">
      <c r="C8" s="4" t="inlineStr">
        <is>
          <t>Source Log</t>
        </is>
      </c>
      <c r="D8" s="5" t="n"/>
      <c r="E8" s="5" t="n"/>
      <c r="F8" s="5" t="n"/>
      <c r="G8" s="5" t="n"/>
    </row>
    <row r="9">
      <c r="C9" s="44" t="inlineStr">
        <is>
          <t>Item</t>
        </is>
      </c>
      <c r="D9" s="44" t="inlineStr">
        <is>
          <t>Source / basis</t>
        </is>
      </c>
      <c r="E9" s="44" t="inlineStr">
        <is>
          <t>Date</t>
        </is>
      </c>
      <c r="F9" s="44" t="inlineStr">
        <is>
          <t>Use in model</t>
        </is>
      </c>
      <c r="G9" s="44" t="inlineStr">
        <is>
          <t>Confidence</t>
        </is>
      </c>
    </row>
    <row r="10">
      <c r="C10" s="45" t="inlineStr">
        <is>
          <t>Commercial prices and growth</t>
        </is>
      </c>
      <c r="D10" s="45" t="inlineStr">
        <is>
          <t>Management planning assumptions; not market benchmarks.</t>
        </is>
      </c>
      <c r="E10" s="45" t="inlineStr">
        <is>
          <t>2026-08-14</t>
        </is>
      </c>
      <c r="F10" s="45" t="inlineStr">
        <is>
          <t>Assumptions tab</t>
        </is>
      </c>
      <c r="G10" s="45" t="inlineStr">
        <is>
          <t>Low</t>
        </is>
      </c>
    </row>
    <row r="11">
      <c r="C11" s="46" t="inlineStr">
        <is>
          <t>Market urgency</t>
        </is>
      </c>
      <c r="D11" s="46" t="inlineStr">
        <is>
          <t>Evanta/Gartner C-level Communities — Top 3 Priorities for CDAOs in 2025.</t>
        </is>
      </c>
      <c r="E11" s="46" t="inlineStr">
        <is>
          <t>2025</t>
        </is>
      </c>
      <c r="F11" s="46" t="inlineStr">
        <is>
          <t>Strategic context only</t>
        </is>
      </c>
      <c r="G11" s="46" t="inlineStr">
        <is>
          <t>Medium</t>
        </is>
      </c>
    </row>
    <row r="12">
      <c r="C12" s="45" t="inlineStr">
        <is>
          <t>US firm universe</t>
        </is>
      </c>
      <c r="D12" s="45" t="inlineStr">
        <is>
          <t>U.S. Census Bureau — Small Business Story.</t>
        </is>
      </c>
      <c r="E12" s="45" t="inlineStr">
        <is>
          <t>2023 data</t>
        </is>
      </c>
      <c r="F12" s="45" t="inlineStr">
        <is>
          <t>Not used as TAM</t>
        </is>
      </c>
      <c r="G12" s="45" t="inlineStr">
        <is>
          <t>High</t>
        </is>
      </c>
    </row>
    <row r="13">
      <c r="C13" s="46" t="inlineStr">
        <is>
          <t>EU enterprise universe</t>
        </is>
      </c>
      <c r="D13" s="46" t="inlineStr">
        <is>
          <t>Eurostat — Structural Business Statistics Overview.</t>
        </is>
      </c>
      <c r="E13" s="46" t="inlineStr">
        <is>
          <t>2023 data</t>
        </is>
      </c>
      <c r="F13" s="46" t="inlineStr">
        <is>
          <t>Not used as TAM</t>
        </is>
      </c>
      <c r="G13" s="46" t="inlineStr">
        <is>
          <t>High</t>
        </is>
      </c>
    </row>
    <row r="14">
      <c r="C14" s="46" t="inlineStr">
        <is>
          <t>UK firm universe</t>
        </is>
      </c>
      <c r="D14" s="46" t="inlineStr">
        <is>
          <t>ONS — UK business: activity, size and location.</t>
        </is>
      </c>
      <c r="E14" s="46" t="inlineStr">
        <is>
          <t>2025</t>
        </is>
      </c>
      <c r="F14" s="46" t="inlineStr">
        <is>
          <t>Not used as TAM</t>
        </is>
      </c>
      <c r="G14" s="46" t="inlineStr">
        <is>
          <t>High</t>
        </is>
      </c>
    </row>
    <row r="15"/>
    <row r="16"/>
    <row r="17">
      <c r="C17" s="47" t="inlineStr">
        <is>
          <t>Model Limits</t>
        </is>
      </c>
      <c r="D17" s="5" t="n"/>
      <c r="E17" s="5" t="n"/>
      <c r="F17" s="5" t="n"/>
      <c r="G17" s="5" t="n"/>
    </row>
    <row r="18">
      <c r="C18" s="48" t="inlineStr">
        <is>
          <t>This is a management planning model, not a valuation or investment forecast.</t>
        </is>
      </c>
    </row>
    <row r="19">
      <c r="C19" s="48" t="inlineStr">
        <is>
          <t>No historical financial statements were provided; all hardcoded operating inputs are blue and require validation.</t>
        </is>
      </c>
    </row>
    <row r="20">
      <c r="C20" s="48" t="inlineStr">
        <is>
          <t>The model intentionally contains no TAM/SAM/SOM calculation until the market definition and pricing unit are approved.</t>
        </is>
      </c>
    </row>
    <row r="21">
      <c r="C21" s="48" t="inlineStr">
        <is>
          <t>All revenue drivers are annual and should be replaced with monthly cohort data before any external financing use.</t>
        </is>
      </c>
    </row>
  </sheetData>
  <mergeCells count="5">
    <mergeCell ref="C21:G21"/>
    <mergeCell ref="C20:G20"/>
    <mergeCell ref="C19:G19"/>
    <mergeCell ref="C3:H3"/>
    <mergeCell ref="C18:G18"/>
  </mergeCells>
  <pageMargins left="0.75" right="0.75" top="1" bottom="1" header="0.5" footer="0.5"/>
  <pageSetup orientation="landscape" fitToHeight="0" fitToWidth="1"/>
  <headerFooter>
    <oddHeader/>
    <oddFooter>&amp;CSources —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2026-08-14T01:42:05Z</dcterms:created>
  <dcterms:modified xmlns:dcterms="http://purl.org/dc/terms/" xmlns:xsi="http://www.w3.org/2001/XMLSchema-instance" xsi:type="dcterms:W3CDTF">2026-08-14T01:42:05Z</dcterms:modified>
</cp:coreProperties>
</file>